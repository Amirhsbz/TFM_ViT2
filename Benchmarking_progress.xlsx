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691893_kcl_ac_uk/Documents/Papers/NeurIPs2025/"/>
    </mc:Choice>
  </mc:AlternateContent>
  <xr:revisionPtr revIDLastSave="161" documentId="8_{C63EDD10-123C-4035-9C93-9D3157FC8589}" xr6:coauthVersionLast="47" xr6:coauthVersionMax="47" xr10:uidLastSave="{EA8F75C2-067D-4D3B-BE88-4E2FD9D03017}"/>
  <bookViews>
    <workbookView xWindow="-108" yWindow="-108" windowWidth="23256" windowHeight="12456" xr2:uid="{51DF2955-836A-403E-BBAC-9315033FF4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C19" i="1"/>
  <c r="C18" i="1"/>
  <c r="G12" i="1"/>
  <c r="G13" i="1"/>
  <c r="G14" i="1"/>
  <c r="G11" i="1"/>
  <c r="F12" i="1"/>
  <c r="F13" i="1"/>
  <c r="F14" i="1"/>
  <c r="F11" i="1"/>
  <c r="E12" i="1"/>
  <c r="E13" i="1"/>
  <c r="E14" i="1"/>
  <c r="E11" i="1"/>
  <c r="D12" i="1"/>
  <c r="D13" i="1"/>
  <c r="D14" i="1"/>
  <c r="D11" i="1"/>
  <c r="C12" i="1"/>
  <c r="C13" i="1"/>
  <c r="C14" i="1"/>
  <c r="C11" i="1"/>
  <c r="B12" i="1"/>
  <c r="B13" i="1"/>
  <c r="B14" i="1"/>
  <c r="B11" i="1"/>
  <c r="D20" i="1"/>
  <c r="D19" i="1"/>
  <c r="D18" i="1"/>
</calcChain>
</file>

<file path=xl/sharedStrings.xml><?xml version="1.0" encoding="utf-8"?>
<sst xmlns="http://schemas.openxmlformats.org/spreadsheetml/2006/main" count="44" uniqueCount="20">
  <si>
    <r>
      <rPr>
        <sz val="14"/>
        <color rgb="FF000000"/>
        <rFont val="Aptos Narrow"/>
        <scheme val="minor"/>
      </rPr>
      <t xml:space="preserve">This table is intended to facilitate tracking of the benchmarking progress, and a summary of the results will be included in the paper. For each model, two columns are provided: </t>
    </r>
    <r>
      <rPr>
        <i/>
        <sz val="14"/>
        <color rgb="FF000000"/>
        <rFont val="Aptos Narrow"/>
        <scheme val="minor"/>
      </rPr>
      <t>Total Demos</t>
    </r>
    <r>
      <rPr>
        <sz val="14"/>
        <color rgb="FF000000"/>
        <rFont val="Aptos Narrow"/>
        <scheme val="minor"/>
      </rPr>
      <t>, representing the total number of demonstrations performed using the model (</t>
    </r>
    <r>
      <rPr>
        <b/>
        <sz val="14"/>
        <color rgb="FF000000"/>
        <rFont val="Aptos Narrow"/>
        <scheme val="minor"/>
      </rPr>
      <t>currently aimed at 10</t>
    </r>
    <r>
      <rPr>
        <sz val="14"/>
        <color rgb="FF000000"/>
        <rFont val="Aptos Narrow"/>
        <scheme val="minor"/>
      </rPr>
      <t xml:space="preserve">), and </t>
    </r>
    <r>
      <rPr>
        <i/>
        <sz val="14"/>
        <color rgb="FF000000"/>
        <rFont val="Aptos Narrow"/>
        <scheme val="minor"/>
      </rPr>
      <t>Successful</t>
    </r>
    <r>
      <rPr>
        <sz val="14"/>
        <color rgb="FF000000"/>
        <rFont val="Aptos Narrow"/>
        <scheme val="minor"/>
      </rPr>
      <t xml:space="preserve">, representing the number of successfully completed tasks. The models are defined as follows:
</t>
    </r>
    <r>
      <rPr>
        <b/>
        <sz val="14"/>
        <color rgb="FF000000"/>
        <rFont val="Aptos Narrow"/>
        <scheme val="minor"/>
      </rPr>
      <t>DP - V</t>
    </r>
    <r>
      <rPr>
        <sz val="14"/>
        <color rgb="FF000000"/>
        <rFont val="Aptos Narrow"/>
        <scheme val="minor"/>
      </rPr>
      <t xml:space="preserve">: Diffusion Policy using vision only
</t>
    </r>
    <r>
      <rPr>
        <b/>
        <sz val="14"/>
        <color rgb="FF000000"/>
        <rFont val="Aptos Narrow"/>
        <scheme val="minor"/>
      </rPr>
      <t>DP - V+T</t>
    </r>
    <r>
      <rPr>
        <sz val="14"/>
        <color rgb="FF000000"/>
        <rFont val="Aptos Narrow"/>
        <scheme val="minor"/>
      </rPr>
      <t xml:space="preserve">: Diffusion Policy using vision and tactile data
</t>
    </r>
    <r>
      <rPr>
        <b/>
        <sz val="14"/>
        <color rgb="FF000000"/>
        <rFont val="Aptos Narrow"/>
        <scheme val="minor"/>
      </rPr>
      <t>DP - V+TM</t>
    </r>
    <r>
      <rPr>
        <sz val="14"/>
        <color rgb="FF000000"/>
        <rFont val="Aptos Narrow"/>
        <scheme val="minor"/>
      </rPr>
      <t xml:space="preserve">: Diffusion Policy using vision and tactile marker tracking data
</t>
    </r>
    <r>
      <rPr>
        <b/>
        <sz val="14"/>
        <color rgb="FF000000"/>
        <rFont val="Aptos Narrow"/>
        <scheme val="minor"/>
      </rPr>
      <t>Pi0 - V</t>
    </r>
    <r>
      <rPr>
        <sz val="14"/>
        <color rgb="FF000000"/>
        <rFont val="Aptos Narrow"/>
        <scheme val="minor"/>
      </rPr>
      <t xml:space="preserve">: Pi Zero using vision only
</t>
    </r>
    <r>
      <rPr>
        <b/>
        <sz val="14"/>
        <color rgb="FF000000"/>
        <rFont val="Aptos Narrow"/>
        <scheme val="minor"/>
      </rPr>
      <t>Pi0 - V+T</t>
    </r>
    <r>
      <rPr>
        <sz val="14"/>
        <color rgb="FF000000"/>
        <rFont val="Aptos Narrow"/>
        <scheme val="minor"/>
      </rPr>
      <t xml:space="preserve">: Pi Zero using vision and tactile data
</t>
    </r>
    <r>
      <rPr>
        <b/>
        <sz val="14"/>
        <color rgb="FF000000"/>
        <rFont val="Aptos Narrow"/>
        <scheme val="minor"/>
      </rPr>
      <t>Pi0 - V+TM</t>
    </r>
    <r>
      <rPr>
        <sz val="14"/>
        <color rgb="FF000000"/>
        <rFont val="Aptos Narrow"/>
        <scheme val="minor"/>
      </rPr>
      <t>: Pi Zero using vision and tactile marker tracking data</t>
    </r>
  </si>
  <si>
    <t>Tasks</t>
  </si>
  <si>
    <t xml:space="preserve">DP - V </t>
  </si>
  <si>
    <t>DP - V+T</t>
  </si>
  <si>
    <t>DP - V+TM</t>
  </si>
  <si>
    <t xml:space="preserve">Pi0 - V </t>
  </si>
  <si>
    <t>Pi0 - V+T</t>
  </si>
  <si>
    <t>Pi0 - V+TM</t>
  </si>
  <si>
    <t>Total Demos</t>
  </si>
  <si>
    <t>Successful</t>
  </si>
  <si>
    <t>Turning a bottle upright</t>
  </si>
  <si>
    <t>Wiping a whiteboard</t>
  </si>
  <si>
    <t>Pouring liquid</t>
  </si>
  <si>
    <t>Peg in hole</t>
  </si>
  <si>
    <t>Success rate</t>
  </si>
  <si>
    <t>Success rate of different modalities</t>
  </si>
  <si>
    <t>Modality</t>
  </si>
  <si>
    <t>V</t>
  </si>
  <si>
    <t>V+T</t>
  </si>
  <si>
    <t>V+TM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</si>
</sst>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scheme val="minor"/>
    </font>
    <font>
      <i/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9" fontId="0" fillId="3" borderId="5" xfId="0" applyNumberFormat="1" applyFill="1" applyBorder="1" applyAlignment="1">
      <alignment horizontal="center" vertical="center"/>
    </xf>
    <xf numFmtId="9" fontId="0" fillId="4" borderId="5" xfId="0" applyNumberFormat="1" applyFill="1" applyBorder="1" applyAlignment="1">
      <alignment horizontal="center" vertical="center"/>
    </xf>
    <xf numFmtId="9" fontId="0" fillId="5" borderId="5" xfId="0" applyNumberFormat="1" applyFill="1" applyBorder="1" applyAlignment="1">
      <alignment horizontal="center" vertical="center"/>
    </xf>
    <xf numFmtId="9" fontId="0" fillId="6" borderId="5" xfId="0" applyNumberFormat="1" applyFill="1" applyBorder="1" applyAlignment="1">
      <alignment horizontal="center" vertical="center"/>
    </xf>
    <xf numFmtId="9" fontId="0" fillId="7" borderId="5" xfId="0" applyNumberFormat="1" applyFill="1" applyBorder="1" applyAlignment="1">
      <alignment horizontal="center" vertical="center"/>
    </xf>
    <xf numFmtId="164" fontId="3" fillId="9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576D-E098-483D-8A27-2C0418147925}">
  <dimension ref="A1:M20"/>
  <sheetViews>
    <sheetView tabSelected="1" workbookViewId="0">
      <selection activeCell="F18" sqref="F18"/>
    </sheetView>
  </sheetViews>
  <sheetFormatPr defaultRowHeight="14.45"/>
  <cols>
    <col min="1" max="1" width="23.5703125" customWidth="1"/>
    <col min="2" max="2" width="11.7109375" customWidth="1"/>
    <col min="3" max="3" width="13.7109375" customWidth="1"/>
    <col min="4" max="4" width="11.7109375" customWidth="1"/>
    <col min="5" max="5" width="13.7109375" customWidth="1"/>
    <col min="6" max="6" width="11.7109375" customWidth="1"/>
    <col min="7" max="7" width="13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1.7109375" customWidth="1"/>
    <col min="13" max="13" width="13.7109375" customWidth="1"/>
  </cols>
  <sheetData>
    <row r="1" spans="1:13" s="9" customFormat="1" ht="190.1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3" ht="18">
      <c r="A2" s="17" t="s">
        <v>1</v>
      </c>
      <c r="B2" s="21" t="s">
        <v>2</v>
      </c>
      <c r="C2" s="21"/>
      <c r="D2" s="22" t="s">
        <v>3</v>
      </c>
      <c r="E2" s="22"/>
      <c r="F2" s="23" t="s">
        <v>4</v>
      </c>
      <c r="G2" s="23"/>
      <c r="H2" s="24" t="s">
        <v>5</v>
      </c>
      <c r="I2" s="24"/>
      <c r="J2" s="25" t="s">
        <v>6</v>
      </c>
      <c r="K2" s="25"/>
      <c r="L2" s="16" t="s">
        <v>7</v>
      </c>
      <c r="M2" s="16"/>
    </row>
    <row r="3" spans="1:13" ht="14.45" customHeight="1">
      <c r="A3" s="18"/>
      <c r="B3" s="3" t="s">
        <v>8</v>
      </c>
      <c r="C3" s="3" t="s">
        <v>9</v>
      </c>
      <c r="D3" s="4" t="s">
        <v>8</v>
      </c>
      <c r="E3" s="4" t="s">
        <v>9</v>
      </c>
      <c r="F3" s="5" t="s">
        <v>8</v>
      </c>
      <c r="G3" s="5" t="s">
        <v>9</v>
      </c>
      <c r="H3" s="6" t="s">
        <v>8</v>
      </c>
      <c r="I3" s="6" t="s">
        <v>9</v>
      </c>
      <c r="J3" s="7" t="s">
        <v>8</v>
      </c>
      <c r="K3" s="7" t="s">
        <v>9</v>
      </c>
      <c r="L3" s="8" t="s">
        <v>8</v>
      </c>
      <c r="M3" s="8" t="s">
        <v>9</v>
      </c>
    </row>
    <row r="4" spans="1:13" s="1" customFormat="1" ht="22.9" customHeight="1">
      <c r="A4" s="2" t="s">
        <v>10</v>
      </c>
      <c r="B4" s="10">
        <v>10</v>
      </c>
      <c r="C4" s="10">
        <v>8</v>
      </c>
      <c r="D4" s="11">
        <v>10</v>
      </c>
      <c r="E4" s="11">
        <v>8</v>
      </c>
      <c r="F4" s="12">
        <v>10</v>
      </c>
      <c r="G4" s="12">
        <v>9</v>
      </c>
      <c r="H4" s="13">
        <v>10</v>
      </c>
      <c r="I4" s="13">
        <v>6</v>
      </c>
      <c r="J4" s="14">
        <v>10</v>
      </c>
      <c r="K4" s="14">
        <v>0</v>
      </c>
      <c r="L4" s="15">
        <v>10</v>
      </c>
      <c r="M4" s="15">
        <v>6</v>
      </c>
    </row>
    <row r="5" spans="1:13" s="1" customFormat="1" ht="22.9" customHeight="1">
      <c r="A5" s="2" t="s">
        <v>11</v>
      </c>
      <c r="B5" s="10">
        <v>10</v>
      </c>
      <c r="C5" s="10">
        <v>3</v>
      </c>
      <c r="D5" s="11">
        <v>10</v>
      </c>
      <c r="E5" s="11">
        <v>8</v>
      </c>
      <c r="F5" s="12">
        <v>10</v>
      </c>
      <c r="G5" s="12">
        <v>3</v>
      </c>
      <c r="H5" s="13">
        <v>10</v>
      </c>
      <c r="I5" s="13">
        <v>5</v>
      </c>
      <c r="J5" s="14">
        <v>10</v>
      </c>
      <c r="K5" s="14">
        <v>0</v>
      </c>
      <c r="L5" s="15">
        <v>10</v>
      </c>
      <c r="M5" s="15">
        <v>10</v>
      </c>
    </row>
    <row r="6" spans="1:13" s="1" customFormat="1" ht="22.9" customHeight="1">
      <c r="A6" s="2" t="s">
        <v>12</v>
      </c>
      <c r="B6" s="10">
        <v>10</v>
      </c>
      <c r="C6" s="10">
        <v>5</v>
      </c>
      <c r="D6" s="11">
        <v>10</v>
      </c>
      <c r="E6" s="11">
        <v>5</v>
      </c>
      <c r="F6" s="12">
        <v>10</v>
      </c>
      <c r="G6" s="12">
        <v>2</v>
      </c>
      <c r="H6" s="13">
        <v>10</v>
      </c>
      <c r="I6" s="13">
        <v>3</v>
      </c>
      <c r="J6" s="14">
        <v>10</v>
      </c>
      <c r="K6" s="14">
        <v>6</v>
      </c>
      <c r="L6" s="15">
        <v>10</v>
      </c>
      <c r="M6" s="15">
        <v>0</v>
      </c>
    </row>
    <row r="7" spans="1:13" s="1" customFormat="1" ht="22.9" customHeight="1">
      <c r="A7" s="2" t="s">
        <v>13</v>
      </c>
      <c r="B7" s="10">
        <v>10</v>
      </c>
      <c r="C7" s="10">
        <v>4</v>
      </c>
      <c r="D7" s="11">
        <v>10</v>
      </c>
      <c r="E7" s="11">
        <v>4</v>
      </c>
      <c r="F7" s="12">
        <v>10</v>
      </c>
      <c r="G7" s="12">
        <v>0</v>
      </c>
      <c r="H7" s="13">
        <v>10</v>
      </c>
      <c r="I7" s="13">
        <v>0</v>
      </c>
      <c r="J7" s="14">
        <v>10</v>
      </c>
      <c r="K7" s="14">
        <v>9</v>
      </c>
      <c r="L7" s="15">
        <v>10</v>
      </c>
      <c r="M7" s="15">
        <v>4</v>
      </c>
    </row>
    <row r="8" spans="1:13" ht="15"/>
    <row r="9" spans="1:13" ht="18.75">
      <c r="A9" s="32" t="s">
        <v>14</v>
      </c>
      <c r="B9" s="32"/>
      <c r="C9" s="32"/>
      <c r="D9" s="32"/>
      <c r="E9" s="32"/>
      <c r="F9" s="32"/>
      <c r="G9" s="32"/>
    </row>
    <row r="10" spans="1:13" ht="21" customHeight="1">
      <c r="A10" s="38" t="s">
        <v>1</v>
      </c>
      <c r="B10" s="33" t="s">
        <v>2</v>
      </c>
      <c r="C10" s="34" t="s">
        <v>3</v>
      </c>
      <c r="D10" s="35" t="s">
        <v>4</v>
      </c>
      <c r="E10" s="36" t="s">
        <v>5</v>
      </c>
      <c r="F10" s="37" t="s">
        <v>6</v>
      </c>
      <c r="G10" s="34" t="s">
        <v>7</v>
      </c>
    </row>
    <row r="11" spans="1:13" ht="21" customHeight="1">
      <c r="A11" s="39" t="s">
        <v>10</v>
      </c>
      <c r="B11" s="41">
        <f>C4/B4</f>
        <v>0.8</v>
      </c>
      <c r="C11" s="42">
        <f>E4/D4</f>
        <v>0.8</v>
      </c>
      <c r="D11" s="43">
        <f>G4/F4</f>
        <v>0.9</v>
      </c>
      <c r="E11" s="44">
        <f>I4/H4</f>
        <v>0.6</v>
      </c>
      <c r="F11" s="45">
        <f>K4/J4</f>
        <v>0</v>
      </c>
      <c r="G11" s="42">
        <f>M4/L4</f>
        <v>0.6</v>
      </c>
    </row>
    <row r="12" spans="1:13" ht="21" customHeight="1">
      <c r="A12" s="39" t="s">
        <v>11</v>
      </c>
      <c r="B12" s="41">
        <f t="shared" ref="B12:B14" si="0">C5/B5</f>
        <v>0.3</v>
      </c>
      <c r="C12" s="42">
        <f t="shared" ref="C12:C14" si="1">E5/D5</f>
        <v>0.8</v>
      </c>
      <c r="D12" s="43">
        <f t="shared" ref="D12:D14" si="2">G5/F5</f>
        <v>0.3</v>
      </c>
      <c r="E12" s="44">
        <f t="shared" ref="E12:E14" si="3">I5/H5</f>
        <v>0.5</v>
      </c>
      <c r="F12" s="45">
        <f t="shared" ref="F12:F14" si="4">K5/J5</f>
        <v>0</v>
      </c>
      <c r="G12" s="42">
        <f t="shared" ref="G12:G14" si="5">M5/L5</f>
        <v>1</v>
      </c>
    </row>
    <row r="13" spans="1:13" ht="21" customHeight="1">
      <c r="A13" s="39" t="s">
        <v>12</v>
      </c>
      <c r="B13" s="41">
        <f t="shared" si="0"/>
        <v>0.5</v>
      </c>
      <c r="C13" s="42">
        <f t="shared" si="1"/>
        <v>0.5</v>
      </c>
      <c r="D13" s="43">
        <f t="shared" si="2"/>
        <v>0.2</v>
      </c>
      <c r="E13" s="44">
        <f t="shared" si="3"/>
        <v>0.3</v>
      </c>
      <c r="F13" s="45">
        <f t="shared" si="4"/>
        <v>0.6</v>
      </c>
      <c r="G13" s="42">
        <f t="shared" si="5"/>
        <v>0</v>
      </c>
    </row>
    <row r="14" spans="1:13" ht="21" customHeight="1">
      <c r="A14" s="39" t="s">
        <v>13</v>
      </c>
      <c r="B14" s="41">
        <f t="shared" si="0"/>
        <v>0.4</v>
      </c>
      <c r="C14" s="42">
        <f t="shared" si="1"/>
        <v>0.4</v>
      </c>
      <c r="D14" s="43">
        <f t="shared" si="2"/>
        <v>0</v>
      </c>
      <c r="E14" s="44">
        <f t="shared" si="3"/>
        <v>0</v>
      </c>
      <c r="F14" s="45">
        <f t="shared" si="4"/>
        <v>0.9</v>
      </c>
      <c r="G14" s="42">
        <f t="shared" si="5"/>
        <v>0.4</v>
      </c>
    </row>
    <row r="15" spans="1:13" ht="15"/>
    <row r="16" spans="1:13" ht="18.75">
      <c r="A16" s="40" t="s">
        <v>15</v>
      </c>
      <c r="B16" s="40"/>
      <c r="C16" s="40"/>
      <c r="D16" s="40"/>
    </row>
    <row r="17" spans="1:4" ht="18.75" customHeight="1">
      <c r="A17" s="30" t="s">
        <v>16</v>
      </c>
      <c r="B17" s="31" t="s">
        <v>8</v>
      </c>
      <c r="C17" s="26" t="s">
        <v>9</v>
      </c>
      <c r="D17" s="26" t="s">
        <v>14</v>
      </c>
    </row>
    <row r="18" spans="1:4" ht="18.75" customHeight="1">
      <c r="A18" s="27" t="s">
        <v>17</v>
      </c>
      <c r="B18" s="28">
        <v>80</v>
      </c>
      <c r="C18" s="28">
        <f>SUM(C4:C7,I4:I7)</f>
        <v>34</v>
      </c>
      <c r="D18" s="46">
        <f>C18/B18</f>
        <v>0.42499999999999999</v>
      </c>
    </row>
    <row r="19" spans="1:4" ht="18.75" customHeight="1">
      <c r="A19" s="29" t="s">
        <v>18</v>
      </c>
      <c r="B19" s="28">
        <v>80</v>
      </c>
      <c r="C19" s="28">
        <f>SUM(E4:E7,K4:K7)</f>
        <v>40</v>
      </c>
      <c r="D19" s="46">
        <f t="shared" ref="D19:D20" si="6">C19/B19</f>
        <v>0.5</v>
      </c>
    </row>
    <row r="20" spans="1:4" ht="18.75" customHeight="1">
      <c r="A20" s="29" t="s">
        <v>19</v>
      </c>
      <c r="B20" s="28">
        <v>80</v>
      </c>
      <c r="C20" s="28">
        <f>SUM(G4:G7,M4:M7)</f>
        <v>34</v>
      </c>
      <c r="D20" s="46">
        <f t="shared" si="6"/>
        <v>0.42499999999999999</v>
      </c>
    </row>
  </sheetData>
  <mergeCells count="10">
    <mergeCell ref="A9:G9"/>
    <mergeCell ref="A16:D16"/>
    <mergeCell ref="L2:M2"/>
    <mergeCell ref="A2:A3"/>
    <mergeCell ref="A1:L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Amirhosein Alian</dc:creator>
  <cp:keywords/>
  <dc:description/>
  <cp:lastModifiedBy>Shiyi Gu</cp:lastModifiedBy>
  <cp:revision/>
  <dcterms:created xsi:type="dcterms:W3CDTF">2026-05-20T14:56:11Z</dcterms:created>
  <dcterms:modified xsi:type="dcterms:W3CDTF">2026-05-27T19:02:57Z</dcterms:modified>
  <cp:category/>
  <cp:contentStatus/>
</cp:coreProperties>
</file>